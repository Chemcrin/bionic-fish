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oudyRain\Desktop\待办\仿生鱼工程\"/>
    </mc:Choice>
  </mc:AlternateContent>
  <xr:revisionPtr revIDLastSave="0" documentId="8_{E665FCC0-957E-4F56-BD29-CEC2F9FA44D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仿生鱼采购清单_阶段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<sst xmlns="http://schemas.openxmlformats.org/spreadsheetml/2006/main" count="290" uniqueCount="217">
  <si>
    <t>仿生鱼项目 · 阶段A 采购清单（含PCB电子元器件）</t>
  </si>
  <si>
    <t>项目：bionic-fish | 阶段：A（可靠线控原型）| v1.1（新增电子元器件+链接/发票列）| 2026-05-27</t>
  </si>
  <si>
    <t>序号</t>
  </si>
  <si>
    <t>物料名称</t>
  </si>
  <si>
    <t>建议规格/型号</t>
  </si>
  <si>
    <t>数量</t>
  </si>
  <si>
    <t>单位</t>
  </si>
  <si>
    <t>用途说明</t>
  </si>
  <si>
    <t>优先级</t>
  </si>
  <si>
    <t>备注</t>
  </si>
  <si>
    <t>商品链接</t>
  </si>
  <si>
    <t>【🔌 主控系统】</t>
  </si>
  <si>
    <t>STM32开发板</t>
  </si>
  <si>
    <t>STM32F103系列（如核心板）</t>
  </si>
  <si>
    <t>片</t>
  </si>
  <si>
    <t>主控制器，PWM/传感器/通信</t>
  </si>
  <si>
    <t>P0 必购</t>
  </si>
  <si>
    <t>省成本用F103</t>
  </si>
  <si>
    <t>ST-Link调试器</t>
  </si>
  <si>
    <t>ST-Link V2</t>
  </si>
  <si>
    <t>个</t>
  </si>
  <si>
    <t>程序烧录与在线调试</t>
  </si>
  <si>
    <t>ESP32-S3开发板</t>
  </si>
  <si>
    <t>乐鑫 ESP32-S3</t>
  </si>
  <si>
    <t>上位机/WiFi通信/后续自主决策</t>
  </si>
  <si>
    <t>P1 建议</t>
  </si>
  <si>
    <t>性能强</t>
  </si>
  <si>
    <t>杜邦线套装</t>
  </si>
  <si>
    <t>公母各40根</t>
  </si>
  <si>
    <t>套</t>
  </si>
  <si>
    <t>调试接线</t>
  </si>
  <si>
    <t>可多备</t>
  </si>
  <si>
    <t>【⚙️ 执行机构】</t>
  </si>
  <si>
    <t>防水舵机（大）</t>
  </si>
  <si>
    <t>DS3218 防水舵机 12V</t>
  </si>
  <si>
    <t>扭矩≥2kg·cm</t>
  </si>
  <si>
    <t>小舵机</t>
  </si>
  <si>
    <t>MG90S 金属齿轮</t>
  </si>
  <si>
    <t>小角度鳍片调节</t>
  </si>
  <si>
    <t>非防水需密封</t>
  </si>
  <si>
    <t>块</t>
  </si>
  <si>
    <t>【📡 传感器模块】</t>
  </si>
  <si>
    <t>水深传感器</t>
  </si>
  <si>
    <t>MS5837-30BA</t>
  </si>
  <si>
    <t>定深控制反馈</t>
  </si>
  <si>
    <t>量程30Bar</t>
  </si>
  <si>
    <t>【🔋 电源系统】</t>
  </si>
  <si>
    <t>输出5V</t>
  </si>
  <si>
    <t>【🏗️ 结构件】</t>
  </si>
  <si>
    <t>配垫片</t>
  </si>
  <si>
    <t>【🔗 通信线缆】</t>
  </si>
  <si>
    <t>RS485模块</t>
  </si>
  <si>
    <t>MAX485模块</t>
  </si>
  <si>
    <t>长距离线控通信</t>
  </si>
  <si>
    <t>线长&gt;5m建议</t>
  </si>
  <si>
    <t>【🛠️ 工具辅材】</t>
  </si>
  <si>
    <t>面包板/转接板</t>
  </si>
  <si>
    <t>830孔+转接板</t>
  </si>
  <si>
    <t>原型验证</t>
  </si>
  <si>
    <t>【🔬 电子元器件（画板用）】</t>
  </si>
  <si>
    <t>含0Ω跳线</t>
  </si>
  <si>
    <t>100nF多备</t>
  </si>
  <si>
    <t>若用核心板可跳</t>
  </si>
  <si>
    <t>按需截断</t>
  </si>
  <si>
    <t>核心板可跳</t>
  </si>
  <si>
    <t>晶振 32.768kHz</t>
  </si>
  <si>
    <t>贴片5×3.2mm</t>
  </si>
  <si>
    <t>RTC时钟</t>
  </si>
  <si>
    <t>可选</t>
  </si>
  <si>
    <t>JST连接器</t>
  </si>
  <si>
    <t>PH2.0 2P/3P/4P套装</t>
  </si>
  <si>
    <t>传感器模块连接</t>
  </si>
  <si>
    <t>方便插拔</t>
  </si>
  <si>
    <t>【📷 阶段B选配】</t>
  </si>
  <si>
    <t>摄像头模块</t>
  </si>
  <si>
    <t>OV2640</t>
  </si>
  <si>
    <t>视觉自主寻点</t>
  </si>
  <si>
    <t>P2 选配</t>
  </si>
  <si>
    <t>OpenMV H7 Plus</t>
  </si>
  <si>
    <t>图像处理模块</t>
  </si>
  <si>
    <t>更强图像处理</t>
  </si>
  <si>
    <t>主动浮力组件</t>
  </si>
  <si>
    <t>水泵+浮力舱</t>
  </si>
  <si>
    <t>主动沉浮升级</t>
  </si>
  <si>
    <t>📊 阶段A（P0必购）预估小计：</t>
  </si>
  <si>
    <t>📌 说明：</t>
  </si>
  <si>
    <t>1. 以上价格为市场参考价，实际以采购时为准</t>
  </si>
  <si>
    <t>2. P0=必购（阶段A必须），P1=建议（阶段A推荐），P2=选配（阶段B增强）</t>
  </si>
  <si>
    <t>3. 「商品链接」和「发票信息」列请自行填写</t>
  </si>
  <si>
    <t>4. 电子元器件按画板通用需求列出，实际以原理图BOM为准</t>
  </si>
  <si>
    <t>5. 若使用开发板/核心板方案，可跳过晶振/稳压等元件</t>
  </si>
  <si>
    <t>jlc</t>
    <phoneticPr fontId="8" type="noConversion"/>
  </si>
  <si>
    <t>防水电机（大）</t>
    <phoneticPr fontId="8" type="noConversion"/>
  </si>
  <si>
    <t>汉普斯 17HS4401S-FS 12V</t>
    <phoneticPr fontId="8" type="noConversion"/>
  </si>
  <si>
    <t>背鳍×1、腹鳍×2</t>
    <phoneticPr fontId="8" type="noConversion"/>
  </si>
  <si>
    <t>尾鳍×1</t>
    <phoneticPr fontId="8" type="noConversion"/>
  </si>
  <si>
    <t>P0 必购</t>
    <phoneticPr fontId="8" type="noConversion"/>
  </si>
  <si>
    <t>基础调试</t>
    <phoneticPr fontId="8" type="noConversion"/>
  </si>
  <si>
    <t>18650 双电串联</t>
    <phoneticPr fontId="8" type="noConversion"/>
  </si>
  <si>
    <t>舵机pwm控制中枢</t>
    <phoneticPr fontId="8" type="noConversion"/>
  </si>
  <si>
    <t>大电容</t>
    <phoneticPr fontId="8" type="noConversion"/>
  </si>
  <si>
    <t>470uf 1000uf</t>
    <phoneticPr fontId="8" type="noConversion"/>
  </si>
  <si>
    <t>ws2812灯珠 3528</t>
    <phoneticPr fontId="8" type="noConversion"/>
  </si>
  <si>
    <t>个</t>
    <phoneticPr fontId="8" type="noConversion"/>
  </si>
  <si>
    <t>降压至5V/3.3V</t>
    <phoneticPr fontId="8" type="noConversion"/>
  </si>
  <si>
    <t>预估总价(元)</t>
    <phoneticPr fontId="8" type="noConversion"/>
  </si>
  <si>
    <t>串口芯片</t>
    <phoneticPr fontId="8" type="noConversion"/>
  </si>
  <si>
    <t>串口通信集成</t>
    <phoneticPr fontId="8" type="noConversion"/>
  </si>
  <si>
    <t>这块物料使用比较细碎，具体按画板使用的原件决定，具体使用金额见发票</t>
    <phoneticPr fontId="8" type="noConversion"/>
  </si>
  <si>
    <t>0603 常用阻值各20颗</t>
    <phoneticPr fontId="8" type="noConversion"/>
  </si>
  <si>
    <t>0603 常用容值各20颗</t>
    <phoneticPr fontId="8" type="noConversion"/>
  </si>
  <si>
    <t>电感</t>
    <phoneticPr fontId="8" type="noConversion"/>
  </si>
  <si>
    <t>15UH（150）</t>
    <phoneticPr fontId="8" type="noConversion"/>
  </si>
  <si>
    <t>SS34 SMA</t>
    <phoneticPr fontId="8" type="noConversion"/>
  </si>
  <si>
    <t>电工镊子</t>
    <phoneticPr fontId="8" type="noConversion"/>
  </si>
  <si>
    <t>直头、斜头</t>
    <phoneticPr fontId="8" type="noConversion"/>
  </si>
  <si>
    <t>只</t>
    <phoneticPr fontId="8" type="noConversion"/>
  </si>
  <si>
    <t>焊接辅助</t>
    <phoneticPr fontId="8" type="noConversion"/>
  </si>
  <si>
    <t>热熔铜螺母</t>
    <phoneticPr fontId="8" type="noConversion"/>
  </si>
  <si>
    <t>学校缺少此高质量耗材</t>
    <phoneticPr fontId="8" type="noConversion"/>
  </si>
  <si>
    <t>XT60接头</t>
    <phoneticPr fontId="8" type="noConversion"/>
  </si>
  <si>
    <t>舵机驱动板</t>
    <phoneticPr fontId="8" type="noConversion"/>
  </si>
  <si>
    <t>PCA9685 16路PWM</t>
    <phoneticPr fontId="8" type="noConversion"/>
  </si>
  <si>
    <t>PWM扩展，独立供电</t>
    <phoneticPr fontId="8" type="noConversion"/>
  </si>
  <si>
    <t>IMU姿态传感器</t>
    <phoneticPr fontId="8" type="noConversion"/>
  </si>
  <si>
    <t>俯仰/横滚/偏航检测</t>
    <phoneticPr fontId="8" type="noConversion"/>
  </si>
  <si>
    <t>锂电池</t>
    <phoneticPr fontId="8" type="noConversion"/>
  </si>
  <si>
    <t>块</t>
    <phoneticPr fontId="8" type="noConversion"/>
  </si>
  <si>
    <t>舵机与主控供电</t>
    <phoneticPr fontId="8" type="noConversion"/>
  </si>
  <si>
    <t>降压模块（主控）</t>
    <phoneticPr fontId="8" type="noConversion"/>
  </si>
  <si>
    <t>LM2596 DC-DC</t>
    <phoneticPr fontId="8" type="noConversion"/>
  </si>
  <si>
    <t>自恢复保险丝</t>
    <phoneticPr fontId="8" type="noConversion"/>
  </si>
  <si>
    <t>5A</t>
    <phoneticPr fontId="8" type="noConversion"/>
  </si>
  <si>
    <t>过流保护</t>
    <phoneticPr fontId="8" type="noConversion"/>
  </si>
  <si>
    <t>PETG 3D打印耗材</t>
    <phoneticPr fontId="8" type="noConversion"/>
  </si>
  <si>
    <t>拓竹PETG Basic 1.75mm</t>
    <phoneticPr fontId="8" type="noConversion"/>
  </si>
  <si>
    <t>卷</t>
    <phoneticPr fontId="8" type="noConversion"/>
  </si>
  <si>
    <t>外壳/鳍片/支架</t>
    <phoneticPr fontId="8" type="noConversion"/>
  </si>
  <si>
    <t>O型密封圈套装</t>
    <phoneticPr fontId="8" type="noConversion"/>
  </si>
  <si>
    <t>硅胶多规格</t>
    <phoneticPr fontId="8" type="noConversion"/>
  </si>
  <si>
    <t>套</t>
    <phoneticPr fontId="8" type="noConversion"/>
  </si>
  <si>
    <t>舱体密封</t>
    <phoneticPr fontId="8" type="noConversion"/>
  </si>
  <si>
    <t>密封胶</t>
    <phoneticPr fontId="8" type="noConversion"/>
  </si>
  <si>
    <t>中性硅酮密封胶</t>
    <phoneticPr fontId="8" type="noConversion"/>
  </si>
  <si>
    <t>支</t>
    <phoneticPr fontId="8" type="noConversion"/>
  </si>
  <si>
    <t>线缆出口加强密封</t>
    <phoneticPr fontId="8" type="noConversion"/>
  </si>
  <si>
    <t>M3/M4各20颗</t>
    <phoneticPr fontId="8" type="noConversion"/>
  </si>
  <si>
    <t>颗</t>
    <phoneticPr fontId="8" type="noConversion"/>
  </si>
  <si>
    <t>3D打印嵌螺母</t>
    <phoneticPr fontId="8" type="noConversion"/>
  </si>
  <si>
    <t>不锈钢螺丝套装</t>
    <phoneticPr fontId="8" type="noConversion"/>
  </si>
  <si>
    <t>M3×10/M3×16/M4×10</t>
    <phoneticPr fontId="8" type="noConversion"/>
  </si>
  <si>
    <t>装配用</t>
    <phoneticPr fontId="8" type="noConversion"/>
  </si>
  <si>
    <t>配重块</t>
    <phoneticPr fontId="8" type="noConversion"/>
  </si>
  <si>
    <t>不锈钢可调式</t>
    <phoneticPr fontId="8" type="noConversion"/>
  </si>
  <si>
    <t>重心调节</t>
    <phoneticPr fontId="8" type="noConversion"/>
  </si>
  <si>
    <t>可滑动</t>
    <phoneticPr fontId="8" type="noConversion"/>
  </si>
  <si>
    <t>浮力材料</t>
    <phoneticPr fontId="8" type="noConversion"/>
  </si>
  <si>
    <t>闭孔泡沫/EVA板</t>
    <phoneticPr fontId="8" type="noConversion"/>
  </si>
  <si>
    <t>浮力调节</t>
    <phoneticPr fontId="8" type="noConversion"/>
  </si>
  <si>
    <t>可裁剪</t>
    <phoneticPr fontId="8" type="noConversion"/>
  </si>
  <si>
    <t>防水线缆</t>
    <phoneticPr fontId="8" type="noConversion"/>
  </si>
  <si>
    <t>4芯屏蔽防水线</t>
    <phoneticPr fontId="8" type="noConversion"/>
  </si>
  <si>
    <t>米</t>
    <phoneticPr fontId="8" type="noConversion"/>
  </si>
  <si>
    <t>线控通信+电源</t>
    <phoneticPr fontId="8" type="noConversion"/>
  </si>
  <si>
    <t>按水深定长</t>
    <phoneticPr fontId="8" type="noConversion"/>
  </si>
  <si>
    <t>防水航空插头</t>
    <phoneticPr fontId="8" type="noConversion"/>
  </si>
  <si>
    <t>IP68 4芯 公母一对</t>
    <phoneticPr fontId="8" type="noConversion"/>
  </si>
  <si>
    <t>线缆与鱼体接口</t>
    <phoneticPr fontId="8" type="noConversion"/>
  </si>
  <si>
    <t>多规格</t>
    <phoneticPr fontId="8" type="noConversion"/>
  </si>
  <si>
    <t>尼龙扎带</t>
    <phoneticPr fontId="8" type="noConversion"/>
  </si>
  <si>
    <t>包</t>
    <phoneticPr fontId="8" type="noConversion"/>
  </si>
  <si>
    <t>内部走线固定</t>
    <phoneticPr fontId="8" type="noConversion"/>
  </si>
  <si>
    <t>PCB打样</t>
    <phoneticPr fontId="8" type="noConversion"/>
  </si>
  <si>
    <t>双层板 10×10cm 绿油</t>
    <phoneticPr fontId="8" type="noConversion"/>
  </si>
  <si>
    <t>片</t>
    <phoneticPr fontId="8" type="noConversion"/>
  </si>
  <si>
    <t>底板/驱动板PCB打样</t>
    <phoneticPr fontId="8" type="noConversion"/>
  </si>
  <si>
    <t>CH341N</t>
    <phoneticPr fontId="8" type="noConversion"/>
  </si>
  <si>
    <t>贴片电阻套装</t>
    <phoneticPr fontId="8" type="noConversion"/>
  </si>
  <si>
    <t>分压/限流/上拉</t>
    <phoneticPr fontId="8" type="noConversion"/>
  </si>
  <si>
    <t>贴片电容套装</t>
    <phoneticPr fontId="8" type="noConversion"/>
  </si>
  <si>
    <t>去耦/滤波晶振匹配</t>
    <phoneticPr fontId="8" type="noConversion"/>
  </si>
  <si>
    <t>AMS1117-3.3稳压芯片</t>
    <phoneticPr fontId="8" type="noConversion"/>
  </si>
  <si>
    <t>SOT-223</t>
    <phoneticPr fontId="8" type="noConversion"/>
  </si>
  <si>
    <t>板载3.3V稳压</t>
    <phoneticPr fontId="8" type="noConversion"/>
  </si>
  <si>
    <t>LED指示灯贴片</t>
    <phoneticPr fontId="8" type="noConversion"/>
  </si>
  <si>
    <t>电源/状态指示</t>
    <phoneticPr fontId="8" type="noConversion"/>
  </si>
  <si>
    <t>按键开关</t>
    <phoneticPr fontId="8" type="noConversion"/>
  </si>
  <si>
    <t>6×6×5mm 贴片轻触</t>
    <phoneticPr fontId="8" type="noConversion"/>
  </si>
  <si>
    <t>复位/BOOT按键</t>
    <phoneticPr fontId="8" type="noConversion"/>
  </si>
  <si>
    <t>排针排母</t>
    <phoneticPr fontId="8" type="noConversion"/>
  </si>
  <si>
    <t>2.54mm 1×40P</t>
    <phoneticPr fontId="8" type="noConversion"/>
  </si>
  <si>
    <t>条</t>
    <phoneticPr fontId="8" type="noConversion"/>
  </si>
  <si>
    <t>连接开发板与底板</t>
    <phoneticPr fontId="8" type="noConversion"/>
  </si>
  <si>
    <t>接线端子</t>
    <phoneticPr fontId="8" type="noConversion"/>
  </si>
  <si>
    <t>5.08mm 2P/3P 螺丝式</t>
    <phoneticPr fontId="8" type="noConversion"/>
  </si>
  <si>
    <t>舵机/传感器接线</t>
    <phoneticPr fontId="8" type="noConversion"/>
  </si>
  <si>
    <t>MOS管</t>
    <phoneticPr fontId="8" type="noConversion"/>
  </si>
  <si>
    <t>AO4404 N-MOS SOT-23</t>
    <phoneticPr fontId="8" type="noConversion"/>
  </si>
  <si>
    <t>舵机电源控制</t>
    <phoneticPr fontId="8" type="noConversion"/>
  </si>
  <si>
    <t>肖特基二极管</t>
    <phoneticPr fontId="8" type="noConversion"/>
  </si>
  <si>
    <t>电源防反接</t>
    <phoneticPr fontId="8" type="noConversion"/>
  </si>
  <si>
    <t>XT60插头</t>
    <phoneticPr fontId="8" type="noConversion"/>
  </si>
  <si>
    <t>公+母 一对</t>
    <phoneticPr fontId="8" type="noConversion"/>
  </si>
  <si>
    <t>对</t>
    <phoneticPr fontId="8" type="noConversion"/>
  </si>
  <si>
    <t>电池电源接口</t>
    <phoneticPr fontId="8" type="noConversion"/>
  </si>
  <si>
    <t>晶振 8MHz</t>
    <phoneticPr fontId="8" type="noConversion"/>
  </si>
  <si>
    <t>HC-49S</t>
    <phoneticPr fontId="8" type="noConversion"/>
  </si>
  <si>
    <t>STM32主时钟</t>
    <phoneticPr fontId="8" type="noConversion"/>
  </si>
  <si>
    <t>拓展天线</t>
    <phoneticPr fontId="8" type="noConversion"/>
  </si>
  <si>
    <t>ipx 4dbi 双频天线</t>
    <phoneticPr fontId="8" type="noConversion"/>
  </si>
  <si>
    <t>增强通信、增强穿透</t>
    <phoneticPr fontId="8" type="noConversion"/>
  </si>
  <si>
    <t>P1 必购</t>
  </si>
  <si>
    <t>水会严重阻隔信号需要放大</t>
    <phoneticPr fontId="8" type="noConversion"/>
  </si>
  <si>
    <t>IP65+防水等级</t>
    <phoneticPr fontId="8" type="noConversion"/>
  </si>
  <si>
    <t>维特智能 JY61P（六轴串口）</t>
    <phoneticPr fontId="8" type="noConversion"/>
  </si>
  <si>
    <t>发票信息</t>
    <phoneticPr fontId="8" type="noConversion"/>
  </si>
  <si>
    <t>商品图片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</si>
</sst>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71" zoomScaleNormal="71" workbookViewId="0">
      <pane ySplit="3" topLeftCell="A26" activePane="bottomLeft" state="frozen"/>
      <selection pane="bottomLeft" activeCell="M57" sqref="M57"/>
    </sheetView>
  </sheetViews>
  <sheetFormatPr defaultRowHeight="14" x14ac:dyDescent="0.25"/>
  <cols>
    <col min="1" max="1" width="5" customWidth="1"/>
    <col min="2" max="2" width="26" customWidth="1"/>
    <col min="3" max="3" width="32" customWidth="1"/>
    <col min="4" max="5" width="6" customWidth="1"/>
    <col min="6" max="6" width="13.1796875" customWidth="1"/>
    <col min="7" max="7" width="36" customWidth="1"/>
    <col min="8" max="8" width="9" customWidth="1"/>
    <col min="9" max="9" width="24" customWidth="1"/>
    <col min="10" max="10" width="32" customWidth="1"/>
    <col min="11" max="11" width="22" customWidth="1"/>
    <col min="12" max="12" width="23.08984375" customWidth="1"/>
  </cols>
  <sheetData>
    <row r="1" spans="1:12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15" x14ac:dyDescent="0.35">
      <c r="A2" s="16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ht="72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105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216</v>
      </c>
      <c r="L3" s="1" t="s">
        <v>215</v>
      </c>
    </row>
    <row r="4" spans="1:12" ht="72.5" customHeight="1" x14ac:dyDescent="0.25">
      <c r="A4" s="11" t="s">
        <v>11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2" ht="72.5" customHeight="1" x14ac:dyDescent="0.25">
      <c r="A5" s="7">
        <v>1</v>
      </c>
      <c r="B5" s="7" t="s">
        <v>12</v>
      </c>
      <c r="C5" s="7" t="s">
        <v>13</v>
      </c>
      <c r="D5" s="7">
        <v>1</v>
      </c>
      <c r="E5" s="7" t="s">
        <v>14</v>
      </c>
      <c r="F5" s="7">
        <v>5.5</v>
      </c>
      <c r="G5" s="7" t="s">
        <v>15</v>
      </c>
      <c r="H5" s="7" t="s">
        <v>16</v>
      </c>
      <c r="I5" s="7" t="s">
        <v>17</v>
      </c>
      <c r="J5" s="2"/>
      <c r="K5" s="5"/>
    </row>
    <row r="6" spans="1:12" ht="72.5" customHeight="1" x14ac:dyDescent="0.25">
      <c r="A6" s="7">
        <v>2</v>
      </c>
      <c r="B6" s="7" t="s">
        <v>18</v>
      </c>
      <c r="C6" s="7" t="s">
        <v>19</v>
      </c>
      <c r="D6" s="7">
        <v>1</v>
      </c>
      <c r="E6" s="7" t="s">
        <v>20</v>
      </c>
      <c r="F6" s="7">
        <v>12.82</v>
      </c>
      <c r="G6" s="7" t="s">
        <v>21</v>
      </c>
      <c r="H6" s="7" t="s">
        <v>16</v>
      </c>
      <c r="I6" s="7" t="s">
        <v>97</v>
      </c>
      <c r="J6" s="2"/>
      <c r="K6" s="5"/>
    </row>
    <row r="7" spans="1:12" ht="72.5" customHeight="1" x14ac:dyDescent="0.25">
      <c r="A7" s="8"/>
      <c r="B7" s="8" t="s">
        <v>208</v>
      </c>
      <c r="C7" s="8" t="s">
        <v>209</v>
      </c>
      <c r="D7" s="8">
        <v>1</v>
      </c>
      <c r="E7" s="8" t="s">
        <v>191</v>
      </c>
      <c r="F7" s="8">
        <v>1.54</v>
      </c>
      <c r="G7" s="8" t="s">
        <v>210</v>
      </c>
      <c r="H7" s="7" t="s">
        <v>211</v>
      </c>
      <c r="I7" s="8" t="s">
        <v>212</v>
      </c>
      <c r="J7" s="2"/>
      <c r="K7" s="5"/>
    </row>
    <row r="8" spans="1:12" ht="72.5" customHeight="1" x14ac:dyDescent="0.25">
      <c r="A8" s="3">
        <v>3</v>
      </c>
      <c r="B8" s="3" t="s">
        <v>22</v>
      </c>
      <c r="C8" s="3" t="s">
        <v>23</v>
      </c>
      <c r="D8" s="3">
        <v>1</v>
      </c>
      <c r="E8" s="3" t="s">
        <v>14</v>
      </c>
      <c r="F8" s="3">
        <v>25.54</v>
      </c>
      <c r="G8" s="3" t="s">
        <v>24</v>
      </c>
      <c r="H8" s="3" t="s">
        <v>25</v>
      </c>
      <c r="I8" s="3" t="s">
        <v>26</v>
      </c>
      <c r="J8" s="2"/>
      <c r="K8" s="5"/>
    </row>
    <row r="9" spans="1:12" ht="72.5" customHeight="1" x14ac:dyDescent="0.25">
      <c r="A9" s="7">
        <v>4</v>
      </c>
      <c r="B9" s="7" t="s">
        <v>27</v>
      </c>
      <c r="C9" s="7" t="s">
        <v>28</v>
      </c>
      <c r="D9" s="7">
        <v>1</v>
      </c>
      <c r="E9" s="7" t="s">
        <v>29</v>
      </c>
      <c r="F9" s="7">
        <v>10</v>
      </c>
      <c r="G9" s="7" t="s">
        <v>30</v>
      </c>
      <c r="H9" s="7" t="s">
        <v>16</v>
      </c>
      <c r="I9" s="7" t="s">
        <v>31</v>
      </c>
      <c r="J9" s="2"/>
      <c r="K9" s="5"/>
    </row>
    <row r="10" spans="1:12" ht="72.5" customHeight="1" x14ac:dyDescent="0.25">
      <c r="A10" s="11" t="s">
        <v>32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2" ht="72.5" customHeight="1" x14ac:dyDescent="0.25">
      <c r="A11" s="7">
        <v>5</v>
      </c>
      <c r="B11" s="7" t="s">
        <v>92</v>
      </c>
      <c r="C11" s="7" t="s">
        <v>93</v>
      </c>
      <c r="D11" s="7">
        <v>1</v>
      </c>
      <c r="E11" s="7" t="s">
        <v>20</v>
      </c>
      <c r="F11" s="7">
        <v>63</v>
      </c>
      <c r="G11" s="7" t="s">
        <v>95</v>
      </c>
      <c r="H11" s="7" t="s">
        <v>96</v>
      </c>
      <c r="I11" s="7" t="s">
        <v>213</v>
      </c>
      <c r="J11" s="2"/>
      <c r="K11" s="2"/>
    </row>
    <row r="12" spans="1:12" ht="72.5" customHeight="1" x14ac:dyDescent="0.25">
      <c r="A12" s="7">
        <v>6</v>
      </c>
      <c r="B12" s="7" t="s">
        <v>33</v>
      </c>
      <c r="C12" s="7" t="s">
        <v>34</v>
      </c>
      <c r="D12" s="7">
        <v>3</v>
      </c>
      <c r="E12" s="7" t="s">
        <v>20</v>
      </c>
      <c r="F12" s="7">
        <v>190.79</v>
      </c>
      <c r="G12" s="7" t="s">
        <v>94</v>
      </c>
      <c r="H12" s="7" t="s">
        <v>16</v>
      </c>
      <c r="I12" s="7" t="s">
        <v>35</v>
      </c>
      <c r="J12" s="2"/>
      <c r="K12" s="2"/>
    </row>
    <row r="13" spans="1:12" ht="72.5" customHeight="1" x14ac:dyDescent="0.25">
      <c r="A13" s="3">
        <v>7</v>
      </c>
      <c r="B13" s="3" t="s">
        <v>36</v>
      </c>
      <c r="C13" s="3" t="s">
        <v>37</v>
      </c>
      <c r="D13" s="3">
        <v>3</v>
      </c>
      <c r="E13" s="3" t="s">
        <v>20</v>
      </c>
      <c r="F13" s="3">
        <v>15</v>
      </c>
      <c r="G13" s="3" t="s">
        <v>38</v>
      </c>
      <c r="H13" s="3" t="s">
        <v>25</v>
      </c>
      <c r="I13" s="3" t="s">
        <v>39</v>
      </c>
      <c r="J13" s="2"/>
      <c r="K13" s="2"/>
    </row>
    <row r="14" spans="1:12" ht="72.5" customHeight="1" x14ac:dyDescent="0.25">
      <c r="A14" s="7">
        <v>8</v>
      </c>
      <c r="B14" s="7" t="s">
        <v>121</v>
      </c>
      <c r="C14" s="7" t="s">
        <v>122</v>
      </c>
      <c r="D14" s="7">
        <v>1</v>
      </c>
      <c r="E14" s="7" t="s">
        <v>40</v>
      </c>
      <c r="F14" s="7">
        <v>13</v>
      </c>
      <c r="G14" s="7" t="s">
        <v>123</v>
      </c>
      <c r="H14" s="7" t="s">
        <v>96</v>
      </c>
      <c r="I14" s="7" t="s">
        <v>99</v>
      </c>
      <c r="J14" s="2"/>
      <c r="K14" s="2"/>
    </row>
    <row r="15" spans="1:12" ht="72.5" customHeight="1" x14ac:dyDescent="0.25">
      <c r="A15" s="11" t="s">
        <v>41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2" ht="72.5" customHeight="1" x14ac:dyDescent="0.25">
      <c r="A16" s="7">
        <v>9</v>
      </c>
      <c r="B16" s="7" t="s">
        <v>124</v>
      </c>
      <c r="C16" s="7" t="s">
        <v>214</v>
      </c>
      <c r="D16" s="7">
        <v>1</v>
      </c>
      <c r="E16" s="7" t="s">
        <v>103</v>
      </c>
      <c r="F16" s="7">
        <v>65</v>
      </c>
      <c r="G16" s="7" t="s">
        <v>125</v>
      </c>
      <c r="H16" s="7" t="s">
        <v>96</v>
      </c>
      <c r="I16" s="7"/>
      <c r="J16" s="2"/>
      <c r="K16" s="5"/>
    </row>
    <row r="17" spans="1:11" ht="72.5" customHeight="1" x14ac:dyDescent="0.25">
      <c r="A17" s="3">
        <v>10</v>
      </c>
      <c r="B17" s="3" t="s">
        <v>42</v>
      </c>
      <c r="C17" s="3" t="s">
        <v>43</v>
      </c>
      <c r="D17" s="3">
        <v>1</v>
      </c>
      <c r="E17" s="3" t="s">
        <v>20</v>
      </c>
      <c r="F17" s="3">
        <v>55</v>
      </c>
      <c r="G17" s="3" t="s">
        <v>44</v>
      </c>
      <c r="H17" s="3" t="s">
        <v>25</v>
      </c>
      <c r="I17" s="3" t="s">
        <v>45</v>
      </c>
      <c r="K17" s="5"/>
    </row>
    <row r="18" spans="1:11" ht="72.5" customHeight="1" x14ac:dyDescent="0.25">
      <c r="A18" s="11" t="s">
        <v>46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72.5" customHeight="1" x14ac:dyDescent="0.25">
      <c r="A19" s="7">
        <v>11</v>
      </c>
      <c r="B19" s="7" t="s">
        <v>126</v>
      </c>
      <c r="C19" s="7" t="s">
        <v>98</v>
      </c>
      <c r="D19" s="7">
        <v>2</v>
      </c>
      <c r="E19" s="7" t="s">
        <v>127</v>
      </c>
      <c r="F19" s="7">
        <v>16.7</v>
      </c>
      <c r="G19" s="7" t="s">
        <v>128</v>
      </c>
      <c r="H19" s="7" t="s">
        <v>96</v>
      </c>
      <c r="I19" s="7" t="s">
        <v>120</v>
      </c>
      <c r="J19" s="2"/>
      <c r="K19" s="5"/>
    </row>
    <row r="20" spans="1:11" ht="72.5" customHeight="1" x14ac:dyDescent="0.25">
      <c r="A20" s="7">
        <v>12</v>
      </c>
      <c r="B20" s="7" t="s">
        <v>129</v>
      </c>
      <c r="C20" s="7" t="s">
        <v>130</v>
      </c>
      <c r="D20" s="7">
        <v>1</v>
      </c>
      <c r="E20" s="7" t="s">
        <v>127</v>
      </c>
      <c r="F20" s="7">
        <v>6.05</v>
      </c>
      <c r="G20" s="7" t="s">
        <v>104</v>
      </c>
      <c r="H20" s="7" t="s">
        <v>96</v>
      </c>
      <c r="I20" s="7" t="s">
        <v>47</v>
      </c>
      <c r="J20" s="2"/>
      <c r="K20" s="5"/>
    </row>
    <row r="21" spans="1:11" ht="72.5" customHeight="1" x14ac:dyDescent="0.25">
      <c r="A21" s="7">
        <v>13</v>
      </c>
      <c r="B21" s="7" t="s">
        <v>131</v>
      </c>
      <c r="C21" s="7" t="s">
        <v>132</v>
      </c>
      <c r="D21" s="7">
        <v>3</v>
      </c>
      <c r="E21" s="7" t="s">
        <v>103</v>
      </c>
      <c r="F21" s="7">
        <v>3</v>
      </c>
      <c r="G21" s="7" t="s">
        <v>133</v>
      </c>
      <c r="H21" s="7" t="s">
        <v>96</v>
      </c>
      <c r="I21" s="7"/>
      <c r="J21" s="2"/>
      <c r="K21" s="5"/>
    </row>
    <row r="22" spans="1:11" ht="72.5" customHeight="1" x14ac:dyDescent="0.25">
      <c r="A22" s="11" t="s">
        <v>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72.5" customHeight="1" x14ac:dyDescent="0.25">
      <c r="A23" s="7">
        <v>14</v>
      </c>
      <c r="B23" s="7" t="s">
        <v>134</v>
      </c>
      <c r="C23" s="7" t="s">
        <v>135</v>
      </c>
      <c r="D23" s="7">
        <v>3</v>
      </c>
      <c r="E23" s="7" t="s">
        <v>136</v>
      </c>
      <c r="F23" s="7">
        <v>50</v>
      </c>
      <c r="G23" s="7" t="s">
        <v>137</v>
      </c>
      <c r="H23" s="7" t="s">
        <v>96</v>
      </c>
      <c r="I23" s="7" t="s">
        <v>119</v>
      </c>
      <c r="J23" s="2"/>
    </row>
    <row r="24" spans="1:11" ht="72.5" customHeight="1" x14ac:dyDescent="0.25">
      <c r="A24" s="7">
        <v>15</v>
      </c>
      <c r="B24" s="7" t="s">
        <v>138</v>
      </c>
      <c r="C24" s="7" t="s">
        <v>139</v>
      </c>
      <c r="D24" s="7">
        <v>1</v>
      </c>
      <c r="E24" s="7" t="s">
        <v>140</v>
      </c>
      <c r="F24" s="7">
        <v>10</v>
      </c>
      <c r="G24" s="7" t="s">
        <v>141</v>
      </c>
      <c r="H24" s="7" t="s">
        <v>96</v>
      </c>
      <c r="I24" s="7"/>
      <c r="J24" s="2"/>
    </row>
    <row r="25" spans="1:11" ht="72.5" customHeight="1" x14ac:dyDescent="0.25">
      <c r="A25" s="7">
        <v>16</v>
      </c>
      <c r="B25" s="7" t="s">
        <v>142</v>
      </c>
      <c r="C25" s="7" t="s">
        <v>143</v>
      </c>
      <c r="D25" s="7">
        <v>1</v>
      </c>
      <c r="E25" s="7" t="s">
        <v>144</v>
      </c>
      <c r="F25" s="7">
        <v>20</v>
      </c>
      <c r="G25" s="7" t="s">
        <v>145</v>
      </c>
      <c r="H25" s="7" t="s">
        <v>96</v>
      </c>
      <c r="I25" s="7"/>
      <c r="J25" s="2"/>
    </row>
    <row r="26" spans="1:11" ht="72.5" customHeight="1" x14ac:dyDescent="0.25">
      <c r="A26" s="7">
        <v>17</v>
      </c>
      <c r="B26" s="7" t="s">
        <v>118</v>
      </c>
      <c r="C26" s="7" t="s">
        <v>146</v>
      </c>
      <c r="D26" s="7">
        <v>40</v>
      </c>
      <c r="E26" s="7" t="s">
        <v>147</v>
      </c>
      <c r="F26" s="7">
        <v>22</v>
      </c>
      <c r="G26" s="7" t="s">
        <v>148</v>
      </c>
      <c r="H26" s="7" t="s">
        <v>96</v>
      </c>
      <c r="I26" s="7"/>
      <c r="J26" s="2"/>
    </row>
    <row r="27" spans="1:11" ht="72.5" customHeight="1" x14ac:dyDescent="0.25">
      <c r="A27" s="7">
        <v>18</v>
      </c>
      <c r="B27" s="7" t="s">
        <v>149</v>
      </c>
      <c r="C27" s="7" t="s">
        <v>150</v>
      </c>
      <c r="D27" s="7">
        <v>60</v>
      </c>
      <c r="E27" s="7" t="s">
        <v>147</v>
      </c>
      <c r="F27" s="7">
        <v>15</v>
      </c>
      <c r="G27" s="7" t="s">
        <v>151</v>
      </c>
      <c r="H27" s="7" t="s">
        <v>96</v>
      </c>
      <c r="I27" s="7" t="s">
        <v>49</v>
      </c>
      <c r="J27" s="2"/>
    </row>
    <row r="28" spans="1:11" ht="72.5" customHeight="1" x14ac:dyDescent="0.25">
      <c r="A28" s="7">
        <v>19</v>
      </c>
      <c r="B28" s="7" t="s">
        <v>152</v>
      </c>
      <c r="C28" s="7" t="s">
        <v>153</v>
      </c>
      <c r="D28" s="7">
        <v>4</v>
      </c>
      <c r="E28" s="7" t="s">
        <v>127</v>
      </c>
      <c r="F28" s="7">
        <v>20</v>
      </c>
      <c r="G28" s="7" t="s">
        <v>154</v>
      </c>
      <c r="H28" s="7" t="s">
        <v>96</v>
      </c>
      <c r="I28" s="7" t="s">
        <v>155</v>
      </c>
      <c r="J28" s="2"/>
    </row>
    <row r="29" spans="1:11" ht="72.5" customHeight="1" x14ac:dyDescent="0.25">
      <c r="A29" s="7">
        <v>20</v>
      </c>
      <c r="B29" s="7" t="s">
        <v>156</v>
      </c>
      <c r="C29" s="7" t="s">
        <v>157</v>
      </c>
      <c r="D29" s="7">
        <v>1</v>
      </c>
      <c r="E29" s="7" t="s">
        <v>127</v>
      </c>
      <c r="F29" s="7">
        <v>20</v>
      </c>
      <c r="G29" s="7" t="s">
        <v>158</v>
      </c>
      <c r="H29" s="7" t="s">
        <v>96</v>
      </c>
      <c r="I29" s="7" t="s">
        <v>159</v>
      </c>
      <c r="J29" s="2"/>
    </row>
    <row r="30" spans="1:11" ht="72.5" customHeight="1" x14ac:dyDescent="0.25">
      <c r="A30" s="11" t="s">
        <v>50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72.5" customHeight="1" x14ac:dyDescent="0.25">
      <c r="A31" s="7">
        <v>21</v>
      </c>
      <c r="B31" s="7" t="s">
        <v>160</v>
      </c>
      <c r="C31" s="7" t="s">
        <v>161</v>
      </c>
      <c r="D31" s="7">
        <v>10</v>
      </c>
      <c r="E31" s="7" t="s">
        <v>162</v>
      </c>
      <c r="F31" s="7">
        <v>8</v>
      </c>
      <c r="G31" s="7" t="s">
        <v>163</v>
      </c>
      <c r="H31" s="7" t="s">
        <v>96</v>
      </c>
      <c r="I31" s="7" t="s">
        <v>164</v>
      </c>
      <c r="J31" s="2"/>
    </row>
    <row r="32" spans="1:11" ht="72.5" customHeight="1" x14ac:dyDescent="0.25">
      <c r="A32" s="7">
        <v>22</v>
      </c>
      <c r="B32" s="7" t="s">
        <v>165</v>
      </c>
      <c r="C32" s="7" t="s">
        <v>166</v>
      </c>
      <c r="D32" s="7">
        <v>2</v>
      </c>
      <c r="E32" s="7" t="s">
        <v>103</v>
      </c>
      <c r="F32" s="7">
        <v>15</v>
      </c>
      <c r="G32" s="7" t="s">
        <v>167</v>
      </c>
      <c r="H32" s="7" t="s">
        <v>96</v>
      </c>
      <c r="I32" s="7"/>
      <c r="J32" s="2"/>
    </row>
    <row r="33" spans="1:11" ht="72.5" customHeight="1" x14ac:dyDescent="0.25">
      <c r="A33" s="3">
        <v>23</v>
      </c>
      <c r="B33" s="3" t="s">
        <v>51</v>
      </c>
      <c r="C33" s="3" t="s">
        <v>52</v>
      </c>
      <c r="D33" s="3">
        <v>2</v>
      </c>
      <c r="E33" s="3" t="s">
        <v>20</v>
      </c>
      <c r="F33" s="3">
        <v>5</v>
      </c>
      <c r="G33" s="3" t="s">
        <v>53</v>
      </c>
      <c r="H33" s="3" t="s">
        <v>25</v>
      </c>
      <c r="I33" s="3" t="s">
        <v>54</v>
      </c>
      <c r="J33" s="2"/>
    </row>
    <row r="34" spans="1:11" ht="72.5" customHeight="1" x14ac:dyDescent="0.25">
      <c r="A34" s="11" t="s">
        <v>55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t="72.5" customHeight="1" x14ac:dyDescent="0.25">
      <c r="A35" s="7">
        <v>25</v>
      </c>
      <c r="B35" s="7" t="s">
        <v>169</v>
      </c>
      <c r="C35" s="7" t="s">
        <v>168</v>
      </c>
      <c r="D35" s="7">
        <v>1</v>
      </c>
      <c r="E35" s="7" t="s">
        <v>170</v>
      </c>
      <c r="F35" s="7">
        <v>5</v>
      </c>
      <c r="G35" s="7" t="s">
        <v>171</v>
      </c>
      <c r="H35" s="7" t="s">
        <v>96</v>
      </c>
      <c r="I35" s="7"/>
      <c r="J35" s="2"/>
    </row>
    <row r="36" spans="1:11" ht="72.5" customHeight="1" x14ac:dyDescent="0.25">
      <c r="A36" s="7">
        <v>26</v>
      </c>
      <c r="B36" s="7" t="s">
        <v>114</v>
      </c>
      <c r="C36" s="7" t="s">
        <v>115</v>
      </c>
      <c r="D36" s="7">
        <v>2</v>
      </c>
      <c r="E36" s="7" t="s">
        <v>116</v>
      </c>
      <c r="F36" s="7">
        <v>5.5</v>
      </c>
      <c r="G36" s="7" t="s">
        <v>117</v>
      </c>
      <c r="H36" s="7" t="s">
        <v>96</v>
      </c>
      <c r="I36" s="7"/>
      <c r="J36" s="2"/>
    </row>
    <row r="37" spans="1:11" ht="72.5" customHeight="1" x14ac:dyDescent="0.25">
      <c r="A37" s="3">
        <v>27</v>
      </c>
      <c r="B37" s="3" t="s">
        <v>56</v>
      </c>
      <c r="C37" s="3" t="s">
        <v>57</v>
      </c>
      <c r="D37" s="3">
        <v>1</v>
      </c>
      <c r="E37" s="3" t="s">
        <v>29</v>
      </c>
      <c r="F37" s="3">
        <v>12</v>
      </c>
      <c r="G37" s="3" t="s">
        <v>58</v>
      </c>
      <c r="H37" s="3" t="s">
        <v>25</v>
      </c>
      <c r="I37" s="3"/>
      <c r="J37" s="2"/>
    </row>
    <row r="38" spans="1:11" ht="72.5" customHeight="1" x14ac:dyDescent="0.25">
      <c r="A38" s="17" t="s">
        <v>59</v>
      </c>
      <c r="B38" s="18"/>
      <c r="C38" s="18"/>
      <c r="D38" s="18"/>
      <c r="E38" s="18"/>
      <c r="F38" s="18"/>
      <c r="G38" s="18"/>
      <c r="H38" s="19"/>
      <c r="I38" s="20" t="s">
        <v>108</v>
      </c>
      <c r="J38" s="21"/>
      <c r="K38" s="22"/>
    </row>
    <row r="39" spans="1:11" ht="72.5" customHeight="1" x14ac:dyDescent="0.25">
      <c r="A39" s="7">
        <v>28</v>
      </c>
      <c r="B39" s="7" t="s">
        <v>172</v>
      </c>
      <c r="C39" s="7" t="s">
        <v>173</v>
      </c>
      <c r="D39" s="7">
        <v>5</v>
      </c>
      <c r="E39" s="7" t="s">
        <v>174</v>
      </c>
      <c r="F39" s="7">
        <v>0</v>
      </c>
      <c r="G39" s="7" t="s">
        <v>175</v>
      </c>
      <c r="H39" s="7" t="s">
        <v>96</v>
      </c>
      <c r="I39" s="7" t="s">
        <v>91</v>
      </c>
      <c r="J39" s="2"/>
    </row>
    <row r="40" spans="1:11" ht="72.5" customHeight="1" x14ac:dyDescent="0.25">
      <c r="A40" s="7">
        <v>29</v>
      </c>
      <c r="B40" s="7" t="s">
        <v>106</v>
      </c>
      <c r="C40" s="7" t="s">
        <v>176</v>
      </c>
      <c r="D40" s="7">
        <v>3</v>
      </c>
      <c r="E40" s="7" t="s">
        <v>103</v>
      </c>
      <c r="F40" s="7">
        <v>7</v>
      </c>
      <c r="G40" s="7" t="s">
        <v>107</v>
      </c>
      <c r="H40" s="7" t="s">
        <v>96</v>
      </c>
      <c r="I40" s="7"/>
      <c r="J40" s="2"/>
    </row>
    <row r="41" spans="1:11" ht="72.5" customHeight="1" x14ac:dyDescent="0.25">
      <c r="A41" s="7">
        <v>30</v>
      </c>
      <c r="B41" s="7" t="s">
        <v>100</v>
      </c>
      <c r="C41" s="7" t="s">
        <v>101</v>
      </c>
      <c r="D41" s="7">
        <v>20</v>
      </c>
      <c r="E41" s="7" t="s">
        <v>103</v>
      </c>
      <c r="F41" s="7">
        <v>5</v>
      </c>
      <c r="G41" s="7" t="s">
        <v>104</v>
      </c>
      <c r="H41" s="7" t="s">
        <v>96</v>
      </c>
      <c r="I41" s="7"/>
      <c r="J41" s="2"/>
    </row>
    <row r="42" spans="1:11" ht="72.5" customHeight="1" x14ac:dyDescent="0.25">
      <c r="A42" s="7">
        <v>31</v>
      </c>
      <c r="B42" s="7" t="s">
        <v>177</v>
      </c>
      <c r="C42" s="7" t="s">
        <v>109</v>
      </c>
      <c r="D42" s="7">
        <v>1</v>
      </c>
      <c r="E42" s="7" t="s">
        <v>140</v>
      </c>
      <c r="F42" s="7">
        <v>10</v>
      </c>
      <c r="G42" s="7" t="s">
        <v>178</v>
      </c>
      <c r="H42" s="7" t="s">
        <v>96</v>
      </c>
      <c r="I42" s="7" t="s">
        <v>60</v>
      </c>
      <c r="J42" s="2"/>
    </row>
    <row r="43" spans="1:11" ht="72.5" customHeight="1" x14ac:dyDescent="0.25">
      <c r="A43" s="7">
        <v>32</v>
      </c>
      <c r="B43" s="7" t="s">
        <v>179</v>
      </c>
      <c r="C43" s="7" t="s">
        <v>110</v>
      </c>
      <c r="D43" s="7">
        <v>1</v>
      </c>
      <c r="E43" s="7" t="s">
        <v>140</v>
      </c>
      <c r="F43" s="7">
        <v>10</v>
      </c>
      <c r="G43" s="7" t="s">
        <v>180</v>
      </c>
      <c r="H43" s="7" t="s">
        <v>96</v>
      </c>
      <c r="I43" s="7" t="s">
        <v>61</v>
      </c>
      <c r="J43" s="2"/>
    </row>
    <row r="44" spans="1:11" ht="72.5" customHeight="1" x14ac:dyDescent="0.25">
      <c r="A44" s="7">
        <v>33</v>
      </c>
      <c r="B44" s="7" t="s">
        <v>111</v>
      </c>
      <c r="C44" s="7" t="s">
        <v>112</v>
      </c>
      <c r="D44" s="7">
        <v>10</v>
      </c>
      <c r="E44" s="7" t="s">
        <v>103</v>
      </c>
      <c r="F44" s="7">
        <v>3.5</v>
      </c>
      <c r="G44" s="7"/>
      <c r="H44" s="7"/>
      <c r="I44" s="7"/>
      <c r="J44" s="2"/>
    </row>
    <row r="45" spans="1:11" ht="72.5" customHeight="1" x14ac:dyDescent="0.25">
      <c r="A45" s="7">
        <v>34</v>
      </c>
      <c r="B45" s="7" t="s">
        <v>181</v>
      </c>
      <c r="C45" s="7" t="s">
        <v>182</v>
      </c>
      <c r="D45" s="7">
        <v>10</v>
      </c>
      <c r="E45" s="7" t="s">
        <v>103</v>
      </c>
      <c r="F45" s="7">
        <v>3</v>
      </c>
      <c r="G45" s="7" t="s">
        <v>183</v>
      </c>
      <c r="H45" s="7" t="s">
        <v>96</v>
      </c>
      <c r="I45" s="7" t="s">
        <v>62</v>
      </c>
      <c r="J45" s="2"/>
    </row>
    <row r="46" spans="1:11" ht="72.5" customHeight="1" x14ac:dyDescent="0.25">
      <c r="A46" s="7">
        <v>35</v>
      </c>
      <c r="B46" s="7" t="s">
        <v>184</v>
      </c>
      <c r="C46" s="7" t="s">
        <v>102</v>
      </c>
      <c r="D46" s="7">
        <v>30</v>
      </c>
      <c r="E46" s="7" t="s">
        <v>147</v>
      </c>
      <c r="F46" s="7">
        <v>5</v>
      </c>
      <c r="G46" s="7" t="s">
        <v>185</v>
      </c>
      <c r="H46" s="7" t="s">
        <v>96</v>
      </c>
      <c r="I46" s="7"/>
      <c r="J46" s="2"/>
    </row>
    <row r="47" spans="1:11" ht="72.5" customHeight="1" x14ac:dyDescent="0.25">
      <c r="A47" s="7">
        <v>36</v>
      </c>
      <c r="B47" s="7" t="s">
        <v>186</v>
      </c>
      <c r="C47" s="7" t="s">
        <v>187</v>
      </c>
      <c r="D47" s="7">
        <v>5</v>
      </c>
      <c r="E47" s="7" t="s">
        <v>103</v>
      </c>
      <c r="F47" s="7">
        <v>0.5</v>
      </c>
      <c r="G47" s="7" t="s">
        <v>188</v>
      </c>
      <c r="H47" s="7" t="s">
        <v>96</v>
      </c>
      <c r="I47" s="7"/>
      <c r="J47" s="2"/>
    </row>
    <row r="48" spans="1:11" ht="72.5" customHeight="1" x14ac:dyDescent="0.25">
      <c r="A48" s="7">
        <v>37</v>
      </c>
      <c r="B48" s="7" t="s">
        <v>189</v>
      </c>
      <c r="C48" s="7" t="s">
        <v>190</v>
      </c>
      <c r="D48" s="7">
        <v>4</v>
      </c>
      <c r="E48" s="7" t="s">
        <v>191</v>
      </c>
      <c r="F48" s="7">
        <v>10</v>
      </c>
      <c r="G48" s="7" t="s">
        <v>192</v>
      </c>
      <c r="H48" s="7" t="s">
        <v>96</v>
      </c>
      <c r="I48" s="7" t="s">
        <v>63</v>
      </c>
      <c r="J48" s="2"/>
    </row>
    <row r="49" spans="1:11" ht="72.5" customHeight="1" x14ac:dyDescent="0.25">
      <c r="A49" s="7">
        <v>38</v>
      </c>
      <c r="B49" s="7" t="s">
        <v>193</v>
      </c>
      <c r="C49" s="7" t="s">
        <v>194</v>
      </c>
      <c r="D49" s="7">
        <v>8</v>
      </c>
      <c r="E49" s="7" t="s">
        <v>103</v>
      </c>
      <c r="F49" s="7">
        <v>5</v>
      </c>
      <c r="G49" s="7" t="s">
        <v>195</v>
      </c>
      <c r="H49" s="7" t="s">
        <v>96</v>
      </c>
      <c r="I49" s="7"/>
      <c r="J49" s="2"/>
    </row>
    <row r="50" spans="1:11" ht="72.5" customHeight="1" x14ac:dyDescent="0.25">
      <c r="A50" s="7">
        <v>39</v>
      </c>
      <c r="B50" s="7" t="s">
        <v>196</v>
      </c>
      <c r="C50" s="7" t="s">
        <v>197</v>
      </c>
      <c r="D50" s="7">
        <v>5</v>
      </c>
      <c r="E50" s="7" t="s">
        <v>103</v>
      </c>
      <c r="F50" s="7">
        <v>5</v>
      </c>
      <c r="G50" s="7" t="s">
        <v>198</v>
      </c>
      <c r="H50" s="7" t="s">
        <v>96</v>
      </c>
      <c r="I50" s="7"/>
      <c r="J50" s="2"/>
    </row>
    <row r="51" spans="1:11" ht="72.5" customHeight="1" x14ac:dyDescent="0.25">
      <c r="A51" s="7">
        <v>40</v>
      </c>
      <c r="B51" s="7" t="s">
        <v>199</v>
      </c>
      <c r="C51" s="7" t="s">
        <v>113</v>
      </c>
      <c r="D51" s="7">
        <v>20</v>
      </c>
      <c r="E51" s="7" t="s">
        <v>103</v>
      </c>
      <c r="F51" s="7">
        <v>6</v>
      </c>
      <c r="G51" s="7" t="s">
        <v>200</v>
      </c>
      <c r="H51" s="7" t="s">
        <v>96</v>
      </c>
      <c r="I51" s="7"/>
      <c r="J51" s="2"/>
    </row>
    <row r="52" spans="1:11" ht="72.5" customHeight="1" x14ac:dyDescent="0.25">
      <c r="A52" s="7">
        <v>41</v>
      </c>
      <c r="B52" s="7" t="s">
        <v>201</v>
      </c>
      <c r="C52" s="7" t="s">
        <v>202</v>
      </c>
      <c r="D52" s="7">
        <v>1</v>
      </c>
      <c r="E52" s="7" t="s">
        <v>203</v>
      </c>
      <c r="F52" s="7">
        <v>9</v>
      </c>
      <c r="G52" s="7" t="s">
        <v>204</v>
      </c>
      <c r="H52" s="7" t="s">
        <v>96</v>
      </c>
      <c r="I52" s="7"/>
      <c r="J52" s="2"/>
    </row>
    <row r="53" spans="1:11" ht="72.5" customHeight="1" x14ac:dyDescent="0.25">
      <c r="A53" s="7">
        <v>42</v>
      </c>
      <c r="B53" s="7" t="s">
        <v>205</v>
      </c>
      <c r="C53" s="7" t="s">
        <v>206</v>
      </c>
      <c r="D53" s="7">
        <v>2</v>
      </c>
      <c r="E53" s="7" t="s">
        <v>103</v>
      </c>
      <c r="F53" s="7">
        <v>1</v>
      </c>
      <c r="G53" s="7" t="s">
        <v>207</v>
      </c>
      <c r="H53" s="7" t="s">
        <v>96</v>
      </c>
      <c r="I53" s="7" t="s">
        <v>64</v>
      </c>
      <c r="J53" s="2"/>
    </row>
    <row r="54" spans="1:11" ht="72.5" customHeight="1" x14ac:dyDescent="0.25">
      <c r="A54" s="3">
        <v>43</v>
      </c>
      <c r="B54" s="3" t="s">
        <v>65</v>
      </c>
      <c r="C54" s="3" t="s">
        <v>66</v>
      </c>
      <c r="D54" s="3">
        <v>2</v>
      </c>
      <c r="E54" s="3" t="s">
        <v>20</v>
      </c>
      <c r="F54" s="3">
        <v>1.5</v>
      </c>
      <c r="G54" s="3" t="s">
        <v>67</v>
      </c>
      <c r="H54" s="3" t="s">
        <v>25</v>
      </c>
      <c r="I54" s="3" t="s">
        <v>68</v>
      </c>
      <c r="J54" s="2"/>
    </row>
    <row r="55" spans="1:11" ht="72.5" customHeight="1" x14ac:dyDescent="0.25">
      <c r="A55" s="3">
        <v>44</v>
      </c>
      <c r="B55" s="3" t="s">
        <v>69</v>
      </c>
      <c r="C55" s="3" t="s">
        <v>70</v>
      </c>
      <c r="D55" s="3">
        <v>3</v>
      </c>
      <c r="E55" s="3" t="s">
        <v>29</v>
      </c>
      <c r="F55" s="3">
        <v>5</v>
      </c>
      <c r="G55" s="3" t="s">
        <v>71</v>
      </c>
      <c r="H55" s="3" t="s">
        <v>25</v>
      </c>
      <c r="I55" s="3" t="s">
        <v>72</v>
      </c>
      <c r="J55" s="2"/>
    </row>
    <row r="56" spans="1:11" ht="72.5" customHeight="1" x14ac:dyDescent="0.25">
      <c r="A56" s="17" t="s">
        <v>73</v>
      </c>
      <c r="B56" s="18"/>
      <c r="C56" s="18"/>
      <c r="D56" s="18"/>
      <c r="E56" s="18"/>
      <c r="F56" s="18"/>
      <c r="G56" s="18"/>
      <c r="H56" s="18"/>
      <c r="I56" s="18"/>
      <c r="J56" s="18"/>
      <c r="K56" s="19"/>
    </row>
    <row r="57" spans="1:11" ht="72.5" customHeight="1" x14ac:dyDescent="0.25">
      <c r="A57" s="4">
        <v>45</v>
      </c>
      <c r="B57" s="4" t="s">
        <v>74</v>
      </c>
      <c r="C57" s="4" t="s">
        <v>75</v>
      </c>
      <c r="D57" s="4">
        <v>1</v>
      </c>
      <c r="E57" s="4" t="s">
        <v>20</v>
      </c>
      <c r="F57" s="4">
        <v>30</v>
      </c>
      <c r="G57" s="4" t="s">
        <v>76</v>
      </c>
      <c r="H57" s="4" t="s">
        <v>77</v>
      </c>
      <c r="I57" s="4"/>
      <c r="J57" s="2"/>
    </row>
    <row r="58" spans="1:11" ht="72.5" customHeight="1" x14ac:dyDescent="0.25">
      <c r="A58" s="4">
        <v>46</v>
      </c>
      <c r="B58" s="4" t="s">
        <v>78</v>
      </c>
      <c r="C58" s="4" t="s">
        <v>79</v>
      </c>
      <c r="D58" s="4">
        <v>1</v>
      </c>
      <c r="E58" s="4" t="s">
        <v>40</v>
      </c>
      <c r="F58" s="4">
        <v>250</v>
      </c>
      <c r="G58" s="4" t="s">
        <v>80</v>
      </c>
      <c r="H58" s="4" t="s">
        <v>77</v>
      </c>
      <c r="I58" s="4"/>
      <c r="J58" s="2"/>
    </row>
    <row r="59" spans="1:11" ht="72.5" customHeight="1" x14ac:dyDescent="0.25">
      <c r="A59" s="4">
        <v>47</v>
      </c>
      <c r="B59" s="4" t="s">
        <v>81</v>
      </c>
      <c r="C59" s="4" t="s">
        <v>82</v>
      </c>
      <c r="D59" s="4">
        <v>1</v>
      </c>
      <c r="E59" s="4" t="s">
        <v>29</v>
      </c>
      <c r="F59" s="4">
        <v>60</v>
      </c>
      <c r="G59" s="4" t="s">
        <v>83</v>
      </c>
      <c r="H59" s="4" t="s">
        <v>77</v>
      </c>
      <c r="I59" s="4"/>
      <c r="J59" s="2"/>
    </row>
    <row r="60" spans="1:11" ht="16.5" x14ac:dyDescent="0.35">
      <c r="A60" s="14" t="s">
        <v>84</v>
      </c>
      <c r="B60" s="15"/>
      <c r="C60" s="15"/>
      <c r="D60" s="15"/>
      <c r="E60" s="15"/>
      <c r="F60" s="6">
        <f>SUM(F5:F55)</f>
        <v>776.94</v>
      </c>
      <c r="G60" s="23"/>
      <c r="H60" s="24"/>
      <c r="I60" s="25"/>
      <c r="J60" s="5"/>
      <c r="K60" s="5"/>
    </row>
    <row r="63" spans="1:11" ht="15" x14ac:dyDescent="0.35">
      <c r="A63" s="13" t="s">
        <v>85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" x14ac:dyDescent="0.35">
      <c r="A64" s="13" t="s">
        <v>86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" x14ac:dyDescent="0.35">
      <c r="A65" s="13" t="s">
        <v>87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" x14ac:dyDescent="0.35">
      <c r="A66" s="13" t="s">
        <v>88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" x14ac:dyDescent="0.35">
      <c r="A67" s="13" t="s">
        <v>89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" x14ac:dyDescent="0.35">
      <c r="A68" s="13" t="s">
        <v>90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</row>
  </sheetData>
  <mergeCells count="20">
    <mergeCell ref="I38:K38"/>
    <mergeCell ref="G60:I60"/>
    <mergeCell ref="A30:K30"/>
    <mergeCell ref="A56:K56"/>
    <mergeCell ref="A1:K1"/>
    <mergeCell ref="A18:K18"/>
    <mergeCell ref="A10:K10"/>
    <mergeCell ref="A4:K4"/>
    <mergeCell ref="A68:K68"/>
    <mergeCell ref="A67:K67"/>
    <mergeCell ref="A34:K34"/>
    <mergeCell ref="A60:E60"/>
    <mergeCell ref="A2:K2"/>
    <mergeCell ref="A15:K15"/>
    <mergeCell ref="A22:K22"/>
    <mergeCell ref="A64:K64"/>
    <mergeCell ref="A66:K66"/>
    <mergeCell ref="A63:K63"/>
    <mergeCell ref="A65:K65"/>
    <mergeCell ref="A38:H3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仿生鱼采购清单_阶段A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2026-05-27T04:45:26Z</dcterms:created>
  <dcterms:modified xsi:type="dcterms:W3CDTF">2026-06-01T08:31:08Z</dcterms:modified>
</cp:coreProperties>
</file>